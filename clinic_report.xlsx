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ey Findings" sheetId="1" state="visible" r:id="rId1"/>
    <sheet name="Monthly Trends" sheetId="2" state="visible" r:id="rId2"/>
    <sheet name="Department Revenue" sheetId="3" state="visible" r:id="rId3"/>
    <sheet name="Patient Segmentation" sheetId="4" state="visible" r:id="rId4"/>
    <sheet name="Appointment Statu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Appointment Volume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Trends'!B1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Trends'!$A$2:$A$26</f>
            </numRef>
          </cat>
          <val>
            <numRef>
              <f>'Monthly Trends'!$B$2:$B$26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Appointments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Revenue (EGP)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Trends'!E1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Trends'!$D$2:$D$26</f>
            </numRef>
          </cat>
          <val>
            <numRef>
              <f>'Monthly Trends'!$E$2:$E$26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'Department Revenue'!B1</f>
            </strRef>
          </tx>
          <spPr>
            <a:ln>
              <a:prstDash val="solid"/>
            </a:ln>
          </spPr>
          <cat>
            <numRef>
              <f>'Department Revenue'!$A$2:$A$9</f>
            </numRef>
          </cat>
          <val>
            <numRef>
              <f>'Department Revenue'!$B$2:$B$9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(EGP)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Patients by Age Group</a:t>
            </a:r>
          </a:p>
        </rich>
      </tx>
    </title>
    <plotArea>
      <pieChart>
        <varyColors val="1"/>
        <ser>
          <idx val="0"/>
          <order val="0"/>
          <tx>
            <strRef>
              <f>'Patient Segmentation'!B1</f>
            </strRef>
          </tx>
          <spPr>
            <a:ln>
              <a:prstDash val="solid"/>
            </a:ln>
          </spPr>
          <cat>
            <numRef>
              <f>'Patient Segmentation'!$A$2:$A$5</f>
            </numRef>
          </cat>
          <val>
            <numRef>
              <f>'Patient Segmentation'!$B$2:$B$5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Patients by City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'Patient Segmentation'!E1</f>
            </strRef>
          </tx>
          <spPr>
            <a:ln>
              <a:prstDash val="solid"/>
            </a:ln>
          </spPr>
          <cat>
            <numRef>
              <f>'Patient Segmentation'!$D$2:$D$9</f>
            </numRef>
          </cat>
          <val>
            <numRef>
              <f>'Patient Segmentation'!$E$2:$E$9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Appointment Status by Department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'Appointment Status'!B1</f>
            </strRef>
          </tx>
          <spPr>
            <a:ln>
              <a:prstDash val="solid"/>
            </a:ln>
          </spPr>
          <cat>
            <numRef>
              <f>'Appointment Status'!$A$2:$A$9</f>
            </numRef>
          </cat>
          <val>
            <numRef>
              <f>'Appointment Status'!$B$2:$B$9</f>
            </numRef>
          </val>
        </ser>
        <ser>
          <idx val="1"/>
          <order val="1"/>
          <tx>
            <strRef>
              <f>'Appointment Status'!C1</f>
            </strRef>
          </tx>
          <spPr>
            <a:ln>
              <a:prstDash val="solid"/>
            </a:ln>
          </spPr>
          <cat>
            <numRef>
              <f>'Appointment Status'!$A$2:$A$9</f>
            </numRef>
          </cat>
          <val>
            <numRef>
              <f>'Appointment Status'!$C$2:$C$9</f>
            </numRef>
          </val>
        </ser>
        <ser>
          <idx val="2"/>
          <order val="2"/>
          <tx>
            <strRef>
              <f>'Appointment Status'!D1</f>
            </strRef>
          </tx>
          <spPr>
            <a:ln>
              <a:prstDash val="solid"/>
            </a:ln>
          </spPr>
          <cat>
            <numRef>
              <f>'Appointment Status'!$A$2:$A$9</f>
            </numRef>
          </cat>
          <val>
            <numRef>
              <f>'Appointment Status'!$D$2:$D$9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CLINIC OPERATIONS — KEY FINDINGS</t>
        </is>
      </c>
    </row>
    <row r="2">
      <c r="A2" s="2" t="inlineStr"/>
    </row>
    <row r="3">
      <c r="A3" s="2" t="inlineStr">
        <is>
          <t>1. Peak appointment month: 2025-07</t>
        </is>
      </c>
    </row>
    <row r="4">
      <c r="A4" s="2" t="inlineStr">
        <is>
          <t>2. Peak revenue month: 2025-07 (EGP 179,250.84)</t>
        </is>
      </c>
    </row>
    <row r="5">
      <c r="A5" s="2" t="inlineStr">
        <is>
          <t>3. Highest-revenue department: General Medicine (EGP 798,965.18)</t>
        </is>
      </c>
    </row>
    <row r="6">
      <c r="A6" s="2" t="inlineStr">
        <is>
          <t>4. Largest patient age segment: 60+ (1734 patients)</t>
        </is>
      </c>
    </row>
    <row r="7">
      <c r="A7" s="2" t="inlineStr">
        <is>
          <t>5. Most represented city: Tanta (645 patients)</t>
        </is>
      </c>
    </row>
    <row r="8">
      <c r="A8" s="2" t="inlineStr">
        <is>
          <t>6. No-show rate averages ~15% overall, with variation across departments — see 'Appointment Status' sheet.</t>
        </is>
      </c>
    </row>
    <row r="9">
      <c r="A9" s="2" t="inlineStr">
        <is>
          <t>7. No single patient/appointment attribute strongly predicts no-shows on its own — a richer feature set (e.g. appointment lead time, past no-show history) would likely improve prediction accuracy.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month</t>
        </is>
      </c>
      <c r="B1" s="3" t="inlineStr">
        <is>
          <t>num_appointments</t>
        </is>
      </c>
      <c r="D1" s="3" t="inlineStr">
        <is>
          <t>month</t>
        </is>
      </c>
      <c r="E1" s="3" t="inlineStr">
        <is>
          <t>amount</t>
        </is>
      </c>
    </row>
    <row r="2">
      <c r="A2" t="inlineStr">
        <is>
          <t>2024-09</t>
        </is>
      </c>
      <c r="B2" t="n">
        <v>636</v>
      </c>
      <c r="D2" t="inlineStr">
        <is>
          <t>2024-09</t>
        </is>
      </c>
      <c r="E2" t="n">
        <v>120992.57</v>
      </c>
    </row>
    <row r="3">
      <c r="A3" t="inlineStr">
        <is>
          <t>2024-10</t>
        </is>
      </c>
      <c r="B3" t="n">
        <v>847</v>
      </c>
      <c r="D3" t="inlineStr">
        <is>
          <t>2024-10</t>
        </is>
      </c>
      <c r="E3" t="n">
        <v>166053.26</v>
      </c>
    </row>
    <row r="4">
      <c r="A4" t="inlineStr">
        <is>
          <t>2024-11</t>
        </is>
      </c>
      <c r="B4" t="n">
        <v>829</v>
      </c>
      <c r="D4" t="inlineStr">
        <is>
          <t>2024-11</t>
        </is>
      </c>
      <c r="E4" t="n">
        <v>162312.81</v>
      </c>
    </row>
    <row r="5">
      <c r="A5" t="inlineStr">
        <is>
          <t>2024-12</t>
        </is>
      </c>
      <c r="B5" t="n">
        <v>854</v>
      </c>
      <c r="D5" t="inlineStr">
        <is>
          <t>2024-12</t>
        </is>
      </c>
      <c r="E5" t="n">
        <v>163385.59</v>
      </c>
    </row>
    <row r="6">
      <c r="A6" t="inlineStr">
        <is>
          <t>2025-01</t>
        </is>
      </c>
      <c r="B6" t="n">
        <v>849</v>
      </c>
      <c r="D6" t="inlineStr">
        <is>
          <t>2025-01</t>
        </is>
      </c>
      <c r="E6" t="n">
        <v>169376.11</v>
      </c>
    </row>
    <row r="7">
      <c r="A7" t="inlineStr">
        <is>
          <t>2025-02</t>
        </is>
      </c>
      <c r="B7" t="n">
        <v>732</v>
      </c>
      <c r="D7" t="inlineStr">
        <is>
          <t>2025-02</t>
        </is>
      </c>
      <c r="E7" t="n">
        <v>147069.92</v>
      </c>
    </row>
    <row r="8">
      <c r="A8" t="inlineStr">
        <is>
          <t>2025-03</t>
        </is>
      </c>
      <c r="B8" t="n">
        <v>865</v>
      </c>
      <c r="D8" t="inlineStr">
        <is>
          <t>2025-03</t>
        </is>
      </c>
      <c r="E8" t="n">
        <v>170913.66</v>
      </c>
    </row>
    <row r="9">
      <c r="A9" t="inlineStr">
        <is>
          <t>2025-04</t>
        </is>
      </c>
      <c r="B9" t="n">
        <v>809</v>
      </c>
      <c r="D9" t="inlineStr">
        <is>
          <t>2025-04</t>
        </is>
      </c>
      <c r="E9" t="n">
        <v>158754.32</v>
      </c>
    </row>
    <row r="10">
      <c r="A10" t="inlineStr">
        <is>
          <t>2025-05</t>
        </is>
      </c>
      <c r="B10" t="n">
        <v>869</v>
      </c>
      <c r="D10" t="inlineStr">
        <is>
          <t>2025-05</t>
        </is>
      </c>
      <c r="E10" t="n">
        <v>165805.04</v>
      </c>
    </row>
    <row r="11">
      <c r="A11" t="inlineStr">
        <is>
          <t>2025-06</t>
        </is>
      </c>
      <c r="B11" t="n">
        <v>775</v>
      </c>
      <c r="D11" t="inlineStr">
        <is>
          <t>2025-06</t>
        </is>
      </c>
      <c r="E11" t="n">
        <v>151392.09</v>
      </c>
    </row>
    <row r="12">
      <c r="A12" t="inlineStr">
        <is>
          <t>2025-07</t>
        </is>
      </c>
      <c r="B12" t="n">
        <v>914</v>
      </c>
      <c r="D12" t="inlineStr">
        <is>
          <t>2025-07</t>
        </is>
      </c>
      <c r="E12" t="n">
        <v>179250.84</v>
      </c>
    </row>
    <row r="13">
      <c r="A13" t="inlineStr">
        <is>
          <t>2025-08</t>
        </is>
      </c>
      <c r="B13" t="n">
        <v>863</v>
      </c>
      <c r="D13" t="inlineStr">
        <is>
          <t>2025-08</t>
        </is>
      </c>
      <c r="E13" t="n">
        <v>172086.72</v>
      </c>
    </row>
    <row r="14">
      <c r="A14" t="inlineStr">
        <is>
          <t>2025-09</t>
        </is>
      </c>
      <c r="B14" t="n">
        <v>827</v>
      </c>
      <c r="D14" t="inlineStr">
        <is>
          <t>2025-09</t>
        </is>
      </c>
      <c r="E14" t="n">
        <v>157748.73</v>
      </c>
    </row>
    <row r="15">
      <c r="A15" t="inlineStr">
        <is>
          <t>2025-10</t>
        </is>
      </c>
      <c r="B15" t="n">
        <v>785</v>
      </c>
      <c r="D15" t="inlineStr">
        <is>
          <t>2025-10</t>
        </is>
      </c>
      <c r="E15" t="n">
        <v>159179.77</v>
      </c>
    </row>
    <row r="16">
      <c r="A16" t="inlineStr">
        <is>
          <t>2025-11</t>
        </is>
      </c>
      <c r="B16" t="n">
        <v>832</v>
      </c>
      <c r="D16" t="inlineStr">
        <is>
          <t>2025-11</t>
        </is>
      </c>
      <c r="E16" t="n">
        <v>165246.2</v>
      </c>
    </row>
    <row r="17">
      <c r="A17" t="inlineStr">
        <is>
          <t>2025-12</t>
        </is>
      </c>
      <c r="B17" t="n">
        <v>906</v>
      </c>
      <c r="D17" t="inlineStr">
        <is>
          <t>2025-12</t>
        </is>
      </c>
      <c r="E17" t="n">
        <v>176084.65</v>
      </c>
    </row>
    <row r="18">
      <c r="A18" t="inlineStr">
        <is>
          <t>2026-01</t>
        </is>
      </c>
      <c r="B18" t="n">
        <v>824</v>
      </c>
      <c r="D18" t="inlineStr">
        <is>
          <t>2026-01</t>
        </is>
      </c>
      <c r="E18" t="n">
        <v>156038.32</v>
      </c>
    </row>
    <row r="19">
      <c r="A19" t="inlineStr">
        <is>
          <t>2026-02</t>
        </is>
      </c>
      <c r="B19" t="n">
        <v>756</v>
      </c>
      <c r="D19" t="inlineStr">
        <is>
          <t>2026-02</t>
        </is>
      </c>
      <c r="E19" t="n">
        <v>143974.95</v>
      </c>
    </row>
    <row r="20">
      <c r="A20" t="inlineStr">
        <is>
          <t>2026-03</t>
        </is>
      </c>
      <c r="B20" t="n">
        <v>836</v>
      </c>
      <c r="D20" t="inlineStr">
        <is>
          <t>2026-03</t>
        </is>
      </c>
      <c r="E20" t="n">
        <v>157254.36</v>
      </c>
    </row>
    <row r="21">
      <c r="A21" t="inlineStr">
        <is>
          <t>2026-04</t>
        </is>
      </c>
      <c r="B21" t="n">
        <v>819</v>
      </c>
      <c r="D21" t="inlineStr">
        <is>
          <t>2026-04</t>
        </is>
      </c>
      <c r="E21" t="n">
        <v>166235.56</v>
      </c>
    </row>
    <row r="22">
      <c r="A22" t="inlineStr">
        <is>
          <t>2026-05</t>
        </is>
      </c>
      <c r="B22" t="n">
        <v>852</v>
      </c>
      <c r="D22" t="inlineStr">
        <is>
          <t>2026-05</t>
        </is>
      </c>
      <c r="E22" t="n">
        <v>166833</v>
      </c>
    </row>
    <row r="23">
      <c r="A23" t="inlineStr">
        <is>
          <t>2026-06</t>
        </is>
      </c>
      <c r="B23" t="n">
        <v>805</v>
      </c>
      <c r="D23" t="inlineStr">
        <is>
          <t>2026-06</t>
        </is>
      </c>
      <c r="E23" t="n">
        <v>150582.59</v>
      </c>
    </row>
    <row r="24">
      <c r="A24" t="inlineStr">
        <is>
          <t>2026-07</t>
        </is>
      </c>
      <c r="B24" t="n">
        <v>828</v>
      </c>
      <c r="D24" t="inlineStr">
        <is>
          <t>2026-07</t>
        </is>
      </c>
      <c r="E24" t="n">
        <v>160328.1</v>
      </c>
    </row>
    <row r="25">
      <c r="A25" t="inlineStr">
        <is>
          <t>2026-08</t>
        </is>
      </c>
      <c r="B25" t="n">
        <v>824</v>
      </c>
      <c r="D25" t="inlineStr">
        <is>
          <t>2026-08</t>
        </is>
      </c>
      <c r="E25" t="n">
        <v>157332.9</v>
      </c>
    </row>
    <row r="26">
      <c r="A26" t="inlineStr">
        <is>
          <t>2026-09</t>
        </is>
      </c>
      <c r="B26" t="n">
        <v>264</v>
      </c>
      <c r="D26" t="inlineStr">
        <is>
          <t>2026-09</t>
        </is>
      </c>
      <c r="E26" t="n">
        <v>56939.84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department</t>
        </is>
      </c>
      <c r="B1" s="3" t="inlineStr">
        <is>
          <t>revenue</t>
        </is>
      </c>
    </row>
    <row r="2">
      <c r="A2" t="inlineStr">
        <is>
          <t>General Medicine</t>
        </is>
      </c>
      <c r="B2" t="n">
        <v>798965.1800000001</v>
      </c>
    </row>
    <row r="3">
      <c r="A3" t="inlineStr">
        <is>
          <t>Pediatrics</t>
        </is>
      </c>
      <c r="B3" t="n">
        <v>625948.65</v>
      </c>
    </row>
    <row r="4">
      <c r="A4" t="inlineStr">
        <is>
          <t>Physiotherapy</t>
        </is>
      </c>
      <c r="B4" t="n">
        <v>548657.33</v>
      </c>
    </row>
    <row r="5">
      <c r="A5" t="inlineStr">
        <is>
          <t>Dermatology</t>
        </is>
      </c>
      <c r="B5" t="n">
        <v>497830.64</v>
      </c>
    </row>
    <row r="6">
      <c r="A6" t="inlineStr">
        <is>
          <t>Cardiology</t>
        </is>
      </c>
      <c r="B6" t="n">
        <v>478168</v>
      </c>
    </row>
    <row r="7">
      <c r="A7" t="inlineStr">
        <is>
          <t>Dentistry</t>
        </is>
      </c>
      <c r="B7" t="n">
        <v>351390.02</v>
      </c>
    </row>
    <row r="8">
      <c r="A8" t="inlineStr">
        <is>
          <t>ENT</t>
        </is>
      </c>
      <c r="B8" t="n">
        <v>317825.01</v>
      </c>
    </row>
    <row r="9">
      <c r="A9" t="inlineStr">
        <is>
          <t>Orthopedics</t>
        </is>
      </c>
      <c r="B9" t="n">
        <v>282387.07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age_group</t>
        </is>
      </c>
      <c r="B1" s="3" t="inlineStr">
        <is>
          <t>num_patients</t>
        </is>
      </c>
      <c r="D1" s="3" t="inlineStr">
        <is>
          <t>city</t>
        </is>
      </c>
      <c r="E1" s="3" t="inlineStr">
        <is>
          <t>num_patients</t>
        </is>
      </c>
    </row>
    <row r="2">
      <c r="A2" t="inlineStr">
        <is>
          <t>60+</t>
        </is>
      </c>
      <c r="B2" t="n">
        <v>1734</v>
      </c>
      <c r="D2" t="inlineStr">
        <is>
          <t>Tanta</t>
        </is>
      </c>
      <c r="E2" t="n">
        <v>645</v>
      </c>
    </row>
    <row r="3">
      <c r="A3" t="inlineStr">
        <is>
          <t>18-39</t>
        </is>
      </c>
      <c r="B3" t="n">
        <v>1229</v>
      </c>
      <c r="D3" t="inlineStr">
        <is>
          <t>Luxor</t>
        </is>
      </c>
      <c r="E3" t="n">
        <v>642</v>
      </c>
    </row>
    <row r="4">
      <c r="A4" t="inlineStr">
        <is>
          <t>40-59</t>
        </is>
      </c>
      <c r="B4" t="n">
        <v>1079</v>
      </c>
      <c r="D4" t="inlineStr">
        <is>
          <t>Giza</t>
        </is>
      </c>
      <c r="E4" t="n">
        <v>639</v>
      </c>
    </row>
    <row r="5">
      <c r="A5" t="inlineStr">
        <is>
          <t>Under 18</t>
        </is>
      </c>
      <c r="B5" t="n">
        <v>958</v>
      </c>
      <c r="D5" t="inlineStr">
        <is>
          <t>Aswan</t>
        </is>
      </c>
      <c r="E5" t="n">
        <v>634</v>
      </c>
    </row>
    <row r="6">
      <c r="D6" t="inlineStr">
        <is>
          <t>Alexandria</t>
        </is>
      </c>
      <c r="E6" t="n">
        <v>629</v>
      </c>
    </row>
    <row r="7">
      <c r="D7" t="inlineStr">
        <is>
          <t>Ismailia</t>
        </is>
      </c>
      <c r="E7" t="n">
        <v>628</v>
      </c>
    </row>
    <row r="8">
      <c r="D8" t="inlineStr">
        <is>
          <t>Mansoura</t>
        </is>
      </c>
      <c r="E8" t="n">
        <v>622</v>
      </c>
    </row>
    <row r="9">
      <c r="D9" t="inlineStr">
        <is>
          <t>Cairo</t>
        </is>
      </c>
      <c r="E9" t="n">
        <v>561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department</t>
        </is>
      </c>
      <c r="B1" s="3" t="inlineStr">
        <is>
          <t>Attended</t>
        </is>
      </c>
      <c r="C1" s="3" t="inlineStr">
        <is>
          <t>Cancelled</t>
        </is>
      </c>
      <c r="D1" s="3" t="inlineStr">
        <is>
          <t>No-show</t>
        </is>
      </c>
    </row>
    <row r="2">
      <c r="A2" t="inlineStr">
        <is>
          <t>Cardiology</t>
        </is>
      </c>
      <c r="B2" t="n">
        <v>1848</v>
      </c>
      <c r="C2" t="n">
        <v>258</v>
      </c>
      <c r="D2" t="n">
        <v>382</v>
      </c>
    </row>
    <row r="3">
      <c r="A3" t="inlineStr">
        <is>
          <t>Dentistry</t>
        </is>
      </c>
      <c r="B3" t="n">
        <v>1356</v>
      </c>
      <c r="C3" t="n">
        <v>157</v>
      </c>
      <c r="D3" t="n">
        <v>265</v>
      </c>
    </row>
    <row r="4">
      <c r="A4" t="inlineStr">
        <is>
          <t>Dermatology</t>
        </is>
      </c>
      <c r="B4" t="n">
        <v>1925</v>
      </c>
      <c r="C4" t="n">
        <v>228</v>
      </c>
      <c r="D4" t="n">
        <v>396</v>
      </c>
    </row>
    <row r="5">
      <c r="A5" t="inlineStr">
        <is>
          <t>ENT</t>
        </is>
      </c>
      <c r="B5" t="n">
        <v>1230</v>
      </c>
      <c r="C5" t="n">
        <v>156</v>
      </c>
      <c r="D5" t="n">
        <v>283</v>
      </c>
    </row>
    <row r="6">
      <c r="A6" t="inlineStr">
        <is>
          <t>General Medicine</t>
        </is>
      </c>
      <c r="B6" t="n">
        <v>3071</v>
      </c>
      <c r="C6" t="n">
        <v>396</v>
      </c>
      <c r="D6" t="n">
        <v>567</v>
      </c>
    </row>
    <row r="7">
      <c r="A7" t="inlineStr">
        <is>
          <t>Orthopedics</t>
        </is>
      </c>
      <c r="B7" t="n">
        <v>1097</v>
      </c>
      <c r="C7" t="n">
        <v>144</v>
      </c>
      <c r="D7" t="n">
        <v>202</v>
      </c>
    </row>
    <row r="8">
      <c r="A8" t="inlineStr">
        <is>
          <t>Pediatrics</t>
        </is>
      </c>
      <c r="B8" t="n">
        <v>2402</v>
      </c>
      <c r="C8" t="n">
        <v>339</v>
      </c>
      <c r="D8" t="n">
        <v>443</v>
      </c>
    </row>
    <row r="9">
      <c r="A9" t="inlineStr">
        <is>
          <t>Physiotherapy</t>
        </is>
      </c>
      <c r="B9" t="n">
        <v>2114</v>
      </c>
      <c r="C9" t="n">
        <v>293</v>
      </c>
      <c r="D9" t="n">
        <v>448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2026-09-11T20:14:37Z</dcterms:created>
  <dcterms:modified xsi:type="dcterms:W3CDTF">2026-09-11T20:14:37Z</dcterms:modified>
</cp:coreProperties>
</file>